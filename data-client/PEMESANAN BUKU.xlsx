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<sst xmlns="http://schemas.openxmlformats.org/spreadsheetml/2006/main" count="43" uniqueCount="38">
  <si>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</t>
  </si>
  <si>
    <t>TGL</t>
  </si>
  <si>
    <t>BLN</t>
  </si>
  <si>
    <t>THN</t>
  </si>
  <si>
    <t>NAMA SEKOLAH</t>
  </si>
  <si>
    <t>KECAMATAN</t>
  </si>
  <si>
    <t>JUDUL BUKU</t>
  </si>
  <si>
    <t>EKS</t>
  </si>
  <si>
    <t>HARGA BELI</t>
  </si>
  <si>
    <t>TOTAL BELI</t>
  </si>
  <si>
    <t>SETOR KANTOR</t>
  </si>
  <si>
    <t>HARGA JUAL</t>
  </si>
  <si>
    <t>MARGIN MARKETING</t>
  </si>
  <si>
    <t>MARGIN NETTO</t>
  </si>
  <si>
    <t>1.</t>
  </si>
  <si>
    <t>09</t>
  </si>
  <si>
    <t>ABA 24</t>
  </si>
  <si>
    <t>KLOJEN</t>
  </si>
  <si>
    <t>ENSIKLOPEDIA SI KECIL ISI 12 BUKU KB</t>
  </si>
  <si>
    <t>2.</t>
  </si>
  <si>
    <t>ABA 5</t>
  </si>
  <si>
    <t xml:space="preserve">SEJARAH 25 NABI DAN RASUL </t>
  </si>
  <si>
    <t>3.</t>
  </si>
  <si>
    <t>TK MUSLIMAT 9</t>
  </si>
  <si>
    <t>PEMBELAJARAN UNTUK FASE PONDASI</t>
  </si>
  <si>
    <t>BELAJAR DAN BARMAIN BERBASIS BUKU</t>
  </si>
  <si>
    <t>NILAI AGAMA DAN BUDI PEKERTI</t>
  </si>
  <si>
    <t>JATI DIRI</t>
  </si>
  <si>
    <t>PROJEK PENGUATAN PROFIL PELAJAR PANCASILA</t>
  </si>
  <si>
    <t>4.</t>
  </si>
  <si>
    <t xml:space="preserve">WONDERFULL KIDS </t>
  </si>
  <si>
    <t>PAKISAJI</t>
  </si>
  <si>
    <t>DINO KIDS KB</t>
  </si>
  <si>
    <t>BUDI SI PENGANTAR PAKET</t>
  </si>
  <si>
    <t>NAYA</t>
  </si>
  <si>
    <t>DINO</t>
  </si>
  <si>
    <t>SAMPUL</t>
  </si>
  <si>
    <t>ISI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</si>
</sst>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(* #,##0_);_(* \(#,##0\);_(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80" fontId="0" fillId="0" borderId="0" xfId="1" applyNumberFormat="1">
      <alignment vertical="center"/>
    </xf>
    <xf numFmtId="0" fontId="0" fillId="0" borderId="1" xfId="0" applyBorder="1">
      <alignment vertical="center"/>
    </xf>
    <xf numFmtId="180" fontId="0" fillId="0" borderId="1" xfId="1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80" fontId="0" fillId="0" borderId="2" xfId="1" applyNumberFormat="1" applyBorder="1">
      <alignment vertical="center"/>
    </xf>
    <xf numFmtId="0" fontId="0" fillId="0" borderId="3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2" borderId="4" xfId="0" applyFill="1" applyBorder="1">
      <alignment vertical="center"/>
    </xf>
    <xf numFmtId="180" fontId="0" fillId="2" borderId="4" xfId="1" applyNumberFormat="1" applyFill="1" applyBorder="1">
      <alignment vertical="center"/>
    </xf>
    <xf numFmtId="180" fontId="1" fillId="2" borderId="4" xfId="1" applyNumberFormat="1" applyFont="1" applyFill="1" applyBorder="1">
      <alignment vertical="center"/>
    </xf>
    <xf numFmtId="0" fontId="1" fillId="0" borderId="1" xfId="0" applyFont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180" fontId="0" fillId="2" borderId="6" xfId="1" applyNumberFormat="1" applyFill="1" applyBorder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180" fontId="0" fillId="2" borderId="8" xfId="1" applyNumberFormat="1" applyFill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180" fontId="0" fillId="0" borderId="9" xfId="1" applyNumberFormat="1" applyBorder="1">
      <alignment vertical="center"/>
    </xf>
    <xf numFmtId="9" fontId="0" fillId="0" borderId="0" xfId="3">
      <alignment vertical="center"/>
    </xf>
    <xf numFmtId="0" fontId="0" fillId="0" borderId="1" xfId="0" applyBorder="1" quotePrefix="1">
      <alignment vertical="center"/>
    </xf>
    <xf numFmtId="0" fontId="0" fillId="0" borderId="2" xfId="0" applyBorder="1" quotePrefix="1">
      <alignment vertical="center"/>
    </xf>
    <xf numFmtId="0" fontId="0" fillId="2" borderId="4" xfId="0" applyFill="1" applyBorder="1" applyAlignment="1" quotePrefix="1">
      <alignment horizontal="center" vertical="center"/>
    </xf>
    <xf numFmtId="0" fontId="0" fillId="0" borderId="9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zoomScale="90" zoomScaleNormal="90" topLeftCell="F1" workbookViewId="0">
      <selection activeCell="G10" sqref="G10"/>
    </sheetView>
  </sheetViews>
  <sheetFormatPr defaultColWidth="8.72727272727273" defaultRowHeight="14.5"/>
  <cols>
    <col min="1" max="4" width="4.18181818181818" customWidth="1"/>
    <col min="5" max="5" width="18.8181818181818" customWidth="1"/>
    <col min="6" max="6" width="12.4545454545455" customWidth="1"/>
    <col min="7" max="7" width="45.7272727272727" customWidth="1"/>
    <col min="8" max="8" width="4.45454545454545" customWidth="1"/>
    <col min="9" max="12" width="13.9090909090909" style="1" customWidth="1"/>
    <col min="13" max="13" width="19.2818181818182" customWidth="1"/>
    <col min="14" max="14" width="15.3636363636364" customWidth="1"/>
    <col min="15" max="15" width="12.8181818181818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6">
      <c r="A2" s="2" t="s">
        <v>14</v>
      </c>
      <c r="B2" s="2">
        <v>11</v>
      </c>
      <c r="C2" s="28" t="s">
        <v>15</v>
      </c>
      <c r="D2" s="2">
        <v>26</v>
      </c>
      <c r="E2" s="2" t="s">
        <v>16</v>
      </c>
      <c r="F2" s="2" t="s">
        <v>17</v>
      </c>
      <c r="G2" s="2" t="s">
        <v>18</v>
      </c>
      <c r="H2" s="4">
        <v>2</v>
      </c>
      <c r="I2" s="3">
        <v>74500</v>
      </c>
      <c r="J2" s="3">
        <f>I2*H2</f>
        <v>149000</v>
      </c>
      <c r="K2" s="3">
        <f>(H2*I2)*2</f>
        <v>298000</v>
      </c>
      <c r="L2" s="3">
        <v>340000</v>
      </c>
      <c r="M2" s="3">
        <f>L2-K2</f>
        <v>42000</v>
      </c>
      <c r="N2" s="3" t="e">
        <f>K2-J2-#REF!</f>
        <v>#REF!</v>
      </c>
      <c r="O2">
        <f>L2*5%</f>
        <v>17000</v>
      </c>
      <c r="P2">
        <f>M2-O2</f>
        <v>25000</v>
      </c>
    </row>
    <row r="3" spans="1:16">
      <c r="A3" s="2" t="s">
        <v>19</v>
      </c>
      <c r="B3" s="5">
        <v>11</v>
      </c>
      <c r="C3" s="29" t="s">
        <v>15</v>
      </c>
      <c r="D3" s="5">
        <v>26</v>
      </c>
      <c r="E3" s="2" t="s">
        <v>20</v>
      </c>
      <c r="F3" s="2" t="s">
        <v>17</v>
      </c>
      <c r="G3" s="5" t="s">
        <v>21</v>
      </c>
      <c r="H3" s="6">
        <v>1</v>
      </c>
      <c r="I3" s="7">
        <v>287500</v>
      </c>
      <c r="J3" s="7">
        <f>I3*H3</f>
        <v>287500</v>
      </c>
      <c r="K3" s="3">
        <f>(H3*I3)*2</f>
        <v>575000</v>
      </c>
      <c r="L3" s="7">
        <v>639000</v>
      </c>
      <c r="M3" s="3">
        <f>L3-K3</f>
        <v>64000</v>
      </c>
      <c r="N3" s="3" t="e">
        <f>K3-J3-#REF!</f>
        <v>#REF!</v>
      </c>
    </row>
    <row r="4" spans="1:16">
      <c r="A4" s="8" t="s">
        <v>22</v>
      </c>
      <c r="B4" s="9">
        <v>17</v>
      </c>
      <c r="C4" s="30" t="s">
        <v>15</v>
      </c>
      <c r="D4" s="10">
        <v>26</v>
      </c>
      <c r="E4" s="11" t="s">
        <v>23</v>
      </c>
      <c r="F4" s="8" t="s">
        <v>17</v>
      </c>
      <c r="G4" s="12" t="s">
        <v>24</v>
      </c>
      <c r="H4" s="9">
        <v>1</v>
      </c>
      <c r="I4" s="13"/>
      <c r="J4" s="14"/>
      <c r="K4" s="14"/>
      <c r="L4" s="14"/>
      <c r="M4" s="15"/>
      <c r="N4" s="14"/>
    </row>
    <row r="5" spans="1:16">
      <c r="A5" s="8"/>
      <c r="B5" s="16"/>
      <c r="C5" s="16"/>
      <c r="D5" s="17"/>
      <c r="E5" s="11"/>
      <c r="F5" s="8"/>
      <c r="G5" s="18" t="s">
        <v>25</v>
      </c>
      <c r="H5" s="16">
        <v>1</v>
      </c>
      <c r="I5" s="19"/>
      <c r="J5" s="19"/>
      <c r="K5" s="19"/>
      <c r="L5" s="19"/>
      <c r="M5" s="2"/>
      <c r="N5" s="2"/>
    </row>
    <row r="6" spans="1:16">
      <c r="A6" s="8"/>
      <c r="B6" s="16"/>
      <c r="C6" s="16"/>
      <c r="D6" s="17"/>
      <c r="E6" s="11"/>
      <c r="F6" s="8"/>
      <c r="G6" s="18" t="s">
        <v>26</v>
      </c>
      <c r="H6" s="16">
        <v>1</v>
      </c>
      <c r="I6" s="19"/>
      <c r="J6" s="19"/>
      <c r="K6" s="19"/>
      <c r="L6" s="19"/>
      <c r="M6" s="2"/>
      <c r="N6" s="2"/>
    </row>
    <row r="7" spans="1:16">
      <c r="A7" s="8"/>
      <c r="B7" s="16"/>
      <c r="C7" s="16"/>
      <c r="D7" s="17"/>
      <c r="E7" s="11"/>
      <c r="F7" s="8"/>
      <c r="G7" s="18" t="s">
        <v>27</v>
      </c>
      <c r="H7" s="16">
        <v>1</v>
      </c>
      <c r="I7" s="19"/>
      <c r="J7" s="19"/>
      <c r="K7" s="19"/>
      <c r="L7" s="19"/>
      <c r="M7" s="2"/>
      <c r="N7" s="2"/>
    </row>
    <row r="8" spans="1:16">
      <c r="A8" s="8"/>
      <c r="B8" s="20"/>
      <c r="C8" s="20"/>
      <c r="D8" s="21"/>
      <c r="E8" s="11"/>
      <c r="F8" s="8"/>
      <c r="G8" s="22" t="s">
        <v>28</v>
      </c>
      <c r="H8" s="20">
        <v>1</v>
      </c>
      <c r="I8" s="23"/>
      <c r="J8" s="23"/>
      <c r="K8" s="23"/>
      <c r="L8" s="23"/>
      <c r="M8" s="2"/>
      <c r="N8" s="2"/>
    </row>
    <row r="9" spans="1:16">
      <c r="A9" s="2" t="s">
        <v>29</v>
      </c>
      <c r="B9" s="24">
        <v>15</v>
      </c>
      <c r="C9" s="31" t="s">
        <v>15</v>
      </c>
      <c r="D9" s="24">
        <v>26</v>
      </c>
      <c r="E9" s="2" t="s">
        <v>30</v>
      </c>
      <c r="F9" s="2" t="s">
        <v>31</v>
      </c>
      <c r="G9" s="24" t="s">
        <v>32</v>
      </c>
      <c r="H9" s="25">
        <v>4</v>
      </c>
      <c r="I9" s="26"/>
      <c r="J9" s="26"/>
      <c r="K9" s="26"/>
      <c r="L9" s="26"/>
      <c r="M9" s="2"/>
      <c r="N9" s="2"/>
    </row>
    <row r="10" spans="1:16">
      <c r="G10" t="s">
        <v>33</v>
      </c>
    </row>
    <row r="12" spans="1:16">
      <c r="I12" s="3"/>
    </row>
    <row r="16" spans="1:16">
      <c r="L16" s="1" t="s">
        <v>34</v>
      </c>
      <c r="M16">
        <v>40000</v>
      </c>
      <c r="N16">
        <v>85000</v>
      </c>
      <c r="O16" s="27">
        <f>N16/M16-1</f>
        <v>1.125</v>
      </c>
      <c r="P16">
        <f>N16-M16</f>
        <v>45000</v>
      </c>
    </row>
    <row r="17" spans="7:16">
      <c r="L17" s="1" t="s">
        <v>35</v>
      </c>
      <c r="M17">
        <v>55000</v>
      </c>
      <c r="N17">
        <v>97000</v>
      </c>
      <c r="O17" s="27">
        <f>N17/M17-1</f>
        <v>0.763636363636364</v>
      </c>
      <c r="P17">
        <f>N17-M17</f>
        <v>42000</v>
      </c>
    </row>
    <row r="18" spans="7:16">
      <c r="O18" s="27">
        <f>SUM(O16:O17)</f>
        <v>1.88863636363636</v>
      </c>
    </row>
    <row r="19" spans="7:16">
      <c r="O19" s="27">
        <f>O18/2</f>
        <v>0.944318181818182</v>
      </c>
    </row>
    <row r="20" spans="7:16">
      <c r="G20" t="s">
        <v>36</v>
      </c>
      <c r="I20" s="1">
        <v>11000</v>
      </c>
      <c r="K20" s="1">
        <f>I20</f>
        <v>11000</v>
      </c>
    </row>
    <row r="21" spans="7:16">
      <c r="G21" t="s">
        <v>37</v>
      </c>
      <c r="I21" s="1">
        <v>750</v>
      </c>
      <c r="J21" s="1">
        <v>8</v>
      </c>
      <c r="K21" s="1">
        <f>I21*J21</f>
        <v>6000</v>
      </c>
      <c r="M21">
        <v>36800</v>
      </c>
    </row>
    <row r="22" spans="7:16">
      <c r="K22" s="1">
        <f>SUM(K20:K21)</f>
        <v>17000</v>
      </c>
      <c r="M22" s="27">
        <f>M21/K22-1</f>
        <v>1.16470588235294</v>
      </c>
    </row>
  </sheetData>
  <mergeCells count="6">
    <mergeCell ref="A4:A8"/>
    <mergeCell ref="B4:B8"/>
    <mergeCell ref="C4:C8"/>
    <mergeCell ref="D4:D8"/>
    <mergeCell ref="E4:E8"/>
    <mergeCell ref="F4:F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 4130</dc:creator>
  <cp:lastModifiedBy>google1592804360</cp:lastModifiedBy>
  <dcterms:created xsi:type="dcterms:W3CDTF">2026-09-21T02:52:00Z</dcterms:created>
  <dcterms:modified xsi:type="dcterms:W3CDTF">2026-09-25T09:18:36Z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DD626BFD05E649C492596EEDF7FDE1A5_11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